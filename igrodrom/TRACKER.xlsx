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Заявки" sheetId="2" state="visible" r:id="rId2"/>
    <sheet xmlns:r="http://schemas.openxmlformats.org/officeDocument/2006/relationships" name="Замер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color rgb="003B2F8F"/>
      <sz val="13"/>
    </font>
  </fonts>
  <fills count="5">
    <fill>
      <patternFill/>
    </fill>
    <fill>
      <patternFill patternType="gray125"/>
    </fill>
    <fill>
      <patternFill patternType="solid">
        <fgColor rgb="003B2F8F"/>
      </patternFill>
    </fill>
    <fill>
      <patternFill patternType="solid">
        <fgColor rgb="00FFF7D6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4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3" borderId="1" pivotButton="0" quotePrefix="0" xfId="0"/>
    <xf numFmtId="0" fontId="0" fillId="3" borderId="1" pivotButton="0" quotePrefix="0" xfId="0"/>
    <xf numFmtId="2" fontId="0" fillId="4" borderId="1" pivotButton="0" quotePrefix="0" xfId="0"/>
    <xf numFmtId="165" fontId="0" fillId="4" borderId="1" pivotButton="0" quotePrefix="0" xfId="0"/>
    <xf numFmtId="1" fontId="0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48" customWidth="1" min="3" max="3"/>
  </cols>
  <sheetData>
    <row r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Ориентир / комментарий</t>
        </is>
      </c>
    </row>
    <row r="2">
      <c r="A2" s="2" t="inlineStr">
        <is>
          <t>Итого потрачено, ₽</t>
        </is>
      </c>
      <c r="B2" s="3">
        <f>SUM(Замеры!D2:D41)</f>
        <v/>
      </c>
      <c r="C2" s="2" t="inlineStr"/>
    </row>
    <row r="3">
      <c r="A3" s="2" t="inlineStr">
        <is>
          <t>Итого сессий</t>
        </is>
      </c>
      <c r="B3" s="3">
        <f>SUM(Замеры!E2:E41)</f>
        <v/>
      </c>
      <c r="C3" s="2" t="inlineStr">
        <is>
          <t>нужно ≥ 3 000 для надёжных цифр</t>
        </is>
      </c>
    </row>
    <row r="4">
      <c r="A4" s="2" t="inlineStr">
        <is>
          <t>Итого показов рекламы</t>
        </is>
      </c>
      <c r="B4" s="3">
        <f>SUM(Замеры!F2:F41)</f>
        <v/>
      </c>
      <c r="C4" s="2" t="inlineStr"/>
    </row>
    <row r="5">
      <c r="A5" s="2" t="inlineStr">
        <is>
          <t>Итого выручка сети, ₽</t>
        </is>
      </c>
      <c r="B5" s="3">
        <f>SUM(Замеры!G2:G41)</f>
        <v/>
      </c>
      <c r="C5" s="2" t="inlineStr"/>
    </row>
    <row r="6">
      <c r="A6" s="2" t="inlineStr">
        <is>
          <t>Средний eCPM, ₽</t>
        </is>
      </c>
      <c r="B6" s="3">
        <f>IF(B4&gt;0,B5/B4*1000,"")</f>
        <v/>
      </c>
      <c r="C6" s="2" t="inlineStr">
        <is>
          <t>порог «идём»: ≥ 40 ₽, стоп: &lt; 30 ₽</t>
        </is>
      </c>
    </row>
    <row r="7">
      <c r="A7" s="2" t="inlineStr">
        <is>
          <t>Показов на сессию</t>
        </is>
      </c>
      <c r="B7" s="3">
        <f>IF(B3&gt;0,B4/B3,"")</f>
        <v/>
      </c>
      <c r="C7" s="2" t="inlineStr"/>
    </row>
    <row r="8">
      <c r="A8" s="2" t="inlineStr">
        <is>
          <t>Выручка с 1000 сессий, ₽</t>
        </is>
      </c>
      <c r="B8" s="3">
        <f>IF(B3&gt;0,B5/B3*1000,"")</f>
        <v/>
      </c>
      <c r="C8" s="2" t="inlineStr">
        <is>
          <t>порог «идём»: ≥ 300 ₽</t>
        </is>
      </c>
    </row>
    <row r="9">
      <c r="A9" s="2" t="inlineStr">
        <is>
          <t>Доля возвращений на 1-й день, %</t>
        </is>
      </c>
      <c r="B9" s="3">
        <f>IF(SUM(Замеры!I2:I41)&gt;0,SUM(Замеры!H2:H41)/SUM(Замеры!I2:I41)*100,"")</f>
        <v/>
      </c>
      <c r="C9" s="2" t="inlineStr">
        <is>
          <t>хорошо: &gt; 15–20%</t>
        </is>
      </c>
    </row>
    <row r="10">
      <c r="A10" s="2" t="inlineStr">
        <is>
          <t>Платный трафик: потрачено, ₽</t>
        </is>
      </c>
      <c r="B10" s="3">
        <f>SUMIF(Замеры!C2:C41,"платный",Замеры!D2:D41)</f>
        <v/>
      </c>
      <c r="C10" s="2" t="inlineStr">
        <is>
          <t>лимит: 3 000 ₽</t>
        </is>
      </c>
    </row>
    <row r="11">
      <c r="A11" s="2" t="inlineStr">
        <is>
          <t>Платный трафик: выручка, ₽</t>
        </is>
      </c>
      <c r="B11" s="3">
        <f>SUMIF(Замеры!C2:C41,"платный",Замеры!G2:G41)</f>
        <v/>
      </c>
      <c r="C11" s="2" t="inlineStr"/>
    </row>
    <row r="12">
      <c r="A12" s="2" t="inlineStr">
        <is>
          <t>Платный трафик: окупаемость, %</t>
        </is>
      </c>
      <c r="B12" s="3">
        <f>IF(B10&gt;0,B11/B10*100,"")</f>
        <v/>
      </c>
      <c r="C12" s="2" t="inlineStr">
        <is>
          <t>&lt; 50% на канале — выключаем</t>
        </is>
      </c>
    </row>
    <row r="13">
      <c r="A13" s="2" t="inlineStr">
        <is>
          <t>Заявок подано</t>
        </is>
      </c>
      <c r="B13" s="3">
        <f>COUNTA(Заявки!D2:D40)-COUNTIF(Заявки!D2:D40,"не подана")</f>
        <v/>
      </c>
      <c r="C13" s="2" t="inlineStr"/>
    </row>
    <row r="14">
      <c r="A14" s="2" t="inlineStr">
        <is>
          <t>Сетей в тестовом режиме / подключено</t>
        </is>
      </c>
      <c r="B14" s="3">
        <f>COUNTIF(Заявки!D2:D40,"тестовый режим")+COUNTIF(Заявки!D2:D40,"подключена")</f>
        <v/>
      </c>
      <c r="C14" s="2" t="inlineStr"/>
    </row>
    <row r="15">
      <c r="A15" s="2" t="inlineStr">
        <is>
          <t>Выплата авторам (70% выручки), ₽</t>
        </is>
      </c>
      <c r="B15" s="3">
        <f>B5*0.7</f>
        <v/>
      </c>
      <c r="C15" s="2" t="inlineStr">
        <is>
          <t>без налогов и хостинга</t>
        </is>
      </c>
    </row>
    <row r="16">
      <c r="A16" s="2" t="inlineStr">
        <is>
          <t>Остаётся платформе (30%), ₽</t>
        </is>
      </c>
      <c r="B16" s="3">
        <f>B5*0.3</f>
        <v/>
      </c>
      <c r="C16" s="2" t="inlineStr"/>
    </row>
    <row r="17"/>
    <row r="18">
      <c r="A18" s="4" t="inlineStr">
        <is>
          <t>РЕШЕНИЕ (неделя 4)</t>
        </is>
      </c>
    </row>
    <row r="19">
      <c r="A19" s="5">
        <f>IF(OR(B3&lt;3000,B14=0),"Данных мало: нужны ≥3000 сессий и хотя бы одна подключённая сеть",IF(AND(B8&gt;=300,B6&gt;=40),"ИДЁМ ДАЛЬШЕ",IF(OR(B6&lt;30,B8&lt;100),"СТОП или смена формата/ниши","МЕНЯЕМ формат: пробуем rewarded-видео / другую аудиторию")))</f>
        <v/>
      </c>
    </row>
    <row r="20"/>
    <row r="21" ht="36" customHeight="1">
      <c r="A21" s="6" t="inlineStr">
        <is>
          <t>Жёлтые ячейки — вводите вручную. Зелёные — считаются сами. Пороги те же, что в PLAN-FULL.md; это допущения, подстройте после первых замеров.</t>
        </is>
      </c>
    </row>
    <row r="22"/>
    <row r="23"/>
    <row r="24"/>
  </sheetData>
  <mergeCells count="1">
    <mergeCell ref="A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3" customWidth="1" min="3" max="3"/>
    <col width="16" customWidth="1" min="4" max="4"/>
    <col width="13" customWidth="1" min="5" max="5"/>
    <col width="16" customWidth="1" min="6" max="6"/>
    <col width="16" customWidth="1" min="7" max="7"/>
    <col width="22" customWidth="1" min="8" max="8"/>
    <col width="16" customWidth="1" min="9" max="9"/>
    <col width="14" customWidth="1" min="10" max="10"/>
    <col width="28" customWidth="1" min="11" max="11"/>
    <col width="22" customWidth="1" min="12" max="12"/>
    <col width="40" customWidth="1" min="13" max="13"/>
    <col width="26" customWidth="1" min="14" max="14"/>
  </cols>
  <sheetData>
    <row r="1" ht="42" customHeight="1">
      <c r="A1" s="7" t="inlineStr">
        <is>
          <t>Сеть</t>
        </is>
      </c>
      <c r="B1" s="7" t="inlineStr">
        <is>
          <t>Сайт / контакт</t>
        </is>
      </c>
      <c r="C1" s="7" t="inlineStr">
        <is>
          <t>Дата заявки</t>
        </is>
      </c>
      <c r="D1" s="7" t="inlineStr">
        <is>
          <t>Статус</t>
        </is>
      </c>
      <c r="E1" s="7" t="inlineStr">
        <is>
          <t>Дата ответа</t>
        </is>
      </c>
      <c r="F1" s="7" t="inlineStr">
        <is>
          <t>Мин. трафик</t>
        </is>
      </c>
      <c r="G1" s="7" t="inlineStr">
        <is>
          <t>Принимает UGC-игры?</t>
        </is>
      </c>
      <c r="H1" s="7" t="inlineStr">
        <is>
          <t>Форматы</t>
        </is>
      </c>
      <c r="I1" s="7" t="inlineStr">
        <is>
          <t>Выплата: порог, ₽/$</t>
        </is>
      </c>
      <c r="J1" s="7" t="inlineStr">
        <is>
          <t>Выплата: срок</t>
        </is>
      </c>
      <c r="K1" s="7" t="inlineStr">
        <is>
          <t>Платит в РФ / кому (самозанятый, ИП, ООО)</t>
        </is>
      </c>
      <c r="L1" s="7" t="inlineStr">
        <is>
          <t>Маркировка (ERID): кто делает</t>
        </is>
      </c>
      <c r="M1" s="7" t="inlineStr">
        <is>
          <t>Ответ / комментарий</t>
        </is>
      </c>
      <c r="N1" s="7" t="inlineStr">
        <is>
          <t>Следующий шаг</t>
        </is>
      </c>
    </row>
    <row r="2">
      <c r="A2" s="8" t="inlineStr">
        <is>
          <t>GameDistribution</t>
        </is>
      </c>
      <c r="B2" s="9" t="n"/>
      <c r="C2" s="10" t="n"/>
      <c r="D2" s="9" t="inlineStr">
        <is>
          <t>не подана</t>
        </is>
      </c>
      <c r="E2" s="10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>
      <c r="A3" s="8" t="inlineStr">
        <is>
          <t>AdinPlay</t>
        </is>
      </c>
      <c r="B3" s="9" t="n"/>
      <c r="C3" s="10" t="n"/>
      <c r="D3" s="9" t="inlineStr">
        <is>
          <t>не подана</t>
        </is>
      </c>
      <c r="E3" s="10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</row>
    <row r="4">
      <c r="A4" s="8" t="inlineStr">
        <is>
          <t>AppLixir</t>
        </is>
      </c>
      <c r="B4" s="9" t="n"/>
      <c r="C4" s="10" t="n"/>
      <c r="D4" s="9" t="inlineStr">
        <is>
          <t>не подана</t>
        </is>
      </c>
      <c r="E4" s="10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>
      <c r="A5" s="8" t="inlineStr">
        <is>
          <t>Google Ad Manager (H5)</t>
        </is>
      </c>
      <c r="B5" s="9" t="n"/>
      <c r="C5" s="10" t="n"/>
      <c r="D5" s="9" t="inlineStr">
        <is>
          <t>не подана</t>
        </is>
      </c>
      <c r="E5" s="10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A6" s="8" t="inlineStr">
        <is>
          <t>VK Реклама / myTarget</t>
        </is>
      </c>
      <c r="B6" s="9" t="n"/>
      <c r="C6" s="10" t="n"/>
      <c r="D6" s="9" t="inlineStr">
        <is>
          <t>не подана</t>
        </is>
      </c>
      <c r="E6" s="10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A7" s="8" t="inlineStr">
        <is>
          <t>Сеть №6 (впишите)</t>
        </is>
      </c>
      <c r="B7" s="9" t="n"/>
      <c r="C7" s="10" t="n"/>
      <c r="D7" s="9" t="inlineStr">
        <is>
          <t>не подана</t>
        </is>
      </c>
      <c r="E7" s="10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A8" s="8" t="inlineStr">
        <is>
          <t>Сеть №7 (впишите)</t>
        </is>
      </c>
      <c r="B8" s="9" t="n"/>
      <c r="C8" s="10" t="n"/>
      <c r="D8" s="9" t="inlineStr">
        <is>
          <t>не подана</t>
        </is>
      </c>
      <c r="E8" s="10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A9" s="8" t="inlineStr">
        <is>
          <t>Сеть №8 (впишите)</t>
        </is>
      </c>
      <c r="B9" s="9" t="n"/>
      <c r="C9" s="10" t="n"/>
      <c r="D9" s="9" t="inlineStr">
        <is>
          <t>не подана</t>
        </is>
      </c>
      <c r="E9" s="10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</sheetData>
  <dataValidations count="2">
    <dataValidation sqref="D2:D40" showDropDown="0" showInputMessage="0" showErrorMessage="0" allowBlank="0" type="list">
      <formula1>"не подана,подана,ждём ответа,отказ,тестовый режим,подключена"</formula1>
    </dataValidation>
    <dataValidation sqref="G2:G40" showDropDown="0" showInputMessage="0" showErrorMessage="0" allowBlank="0" type="list">
      <formula1>"да,нет,не ответили"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3" customWidth="1" min="4" max="4"/>
    <col width="10" customWidth="1" min="5" max="5"/>
    <col width="13" customWidth="1" min="6" max="6"/>
    <col width="14" customWidth="1" min="7" max="7"/>
    <col width="14" customWidth="1" min="8" max="8"/>
    <col width="12" customWidth="1" min="9" max="9"/>
    <col width="10" customWidth="1" min="10" max="10"/>
    <col width="13" customWidth="1" min="11" max="11"/>
    <col width="12" customWidth="1" min="12" max="12"/>
    <col width="11" customWidth="1" min="13" max="13"/>
    <col width="13" customWidth="1" min="14" max="14"/>
    <col width="13" customWidth="1" min="15" max="15"/>
    <col width="22" customWidth="1" min="16" max="16"/>
  </cols>
  <sheetData>
    <row r="1" ht="42" customHeight="1">
      <c r="A1" s="7" t="inlineStr">
        <is>
          <t>Дата</t>
        </is>
      </c>
      <c r="B1" s="7" t="inlineStr">
        <is>
          <t>Канал трафика</t>
        </is>
      </c>
      <c r="C1" s="7" t="inlineStr">
        <is>
          <t>Тип (бесплатный / платный)</t>
        </is>
      </c>
      <c r="D1" s="7" t="inlineStr">
        <is>
          <t>Потрачено, ₽</t>
        </is>
      </c>
      <c r="E1" s="7" t="inlineStr">
        <is>
          <t>Сессий</t>
        </is>
      </c>
      <c r="F1" s="7" t="inlineStr">
        <is>
          <t>Показов рекламы</t>
        </is>
      </c>
      <c r="G1" s="7" t="inlineStr">
        <is>
          <t>Выручка сети, ₽</t>
        </is>
      </c>
      <c r="H1" s="7" t="inlineStr">
        <is>
          <t>Вернулись на 1-й день, чел.</t>
        </is>
      </c>
      <c r="I1" s="7" t="inlineStr">
        <is>
          <t>Уникальных игроков</t>
        </is>
      </c>
      <c r="J1" s="7" t="inlineStr">
        <is>
          <t>Сетей в этом замере</t>
        </is>
      </c>
      <c r="K1" s="7" t="inlineStr">
        <is>
          <t>Стоимость сессии, ₽</t>
        </is>
      </c>
      <c r="L1" s="7" t="inlineStr">
        <is>
          <t>Показов на сессию</t>
        </is>
      </c>
      <c r="M1" s="7" t="inlineStr">
        <is>
          <t>eCPM, ₽</t>
        </is>
      </c>
      <c r="N1" s="7" t="inlineStr">
        <is>
          <t>Выручка на сессию, ₽</t>
        </is>
      </c>
      <c r="O1" s="7" t="inlineStr">
        <is>
          <t>Окупаемость, %</t>
        </is>
      </c>
      <c r="P1" s="7" t="inlineStr">
        <is>
          <t>Вердикт</t>
        </is>
      </c>
    </row>
    <row r="2">
      <c r="A2" s="11" t="n"/>
      <c r="B2" s="12" t="inlineStr">
        <is>
          <t>пример: ролик в Shorts</t>
        </is>
      </c>
      <c r="C2" s="12" t="inlineStr">
        <is>
          <t>бесплатный</t>
        </is>
      </c>
      <c r="D2" s="12" t="n"/>
      <c r="E2" s="12" t="n"/>
      <c r="F2" s="12" t="n"/>
      <c r="G2" s="12" t="n"/>
      <c r="H2" s="12" t="n"/>
      <c r="I2" s="12" t="n"/>
      <c r="J2" s="12" t="n"/>
      <c r="K2" s="13">
        <f>IF(E2&gt;0,D2/E2,"")</f>
        <v/>
      </c>
      <c r="L2" s="14">
        <f>IF(E2&gt;0,F2/E2,"")</f>
        <v/>
      </c>
      <c r="M2" s="13">
        <f>IF(F2&gt;0,G2/F2*1000,"")</f>
        <v/>
      </c>
      <c r="N2" s="13">
        <f>IF(E2&gt;0,G2/E2,"")</f>
        <v/>
      </c>
      <c r="O2" s="15">
        <f>IF(AND(D2&gt;0,G2&lt;&gt;""),G2/D2*100,"")</f>
        <v/>
      </c>
      <c r="P2" s="16">
        <f>IF(E2="","",IF(D2=0,IF(G2&gt;0,"бесплатно — ок","нет дохода"),IF(O2&gt;=100,"окупился — можно повторить",IF(O2&gt;=50,"наблюдать","СТОП: выключить канал"))))</f>
        <v/>
      </c>
    </row>
    <row r="3">
      <c r="A3" s="1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3">
        <f>IF(E3&gt;0,D3/E3,"")</f>
        <v/>
      </c>
      <c r="L3" s="14">
        <f>IF(E3&gt;0,F3/E3,"")</f>
        <v/>
      </c>
      <c r="M3" s="13">
        <f>IF(F3&gt;0,G3/F3*1000,"")</f>
        <v/>
      </c>
      <c r="N3" s="13">
        <f>IF(E3&gt;0,G3/E3,"")</f>
        <v/>
      </c>
      <c r="O3" s="15">
        <f>IF(AND(D3&gt;0,G3&lt;&gt;""),G3/D3*100,"")</f>
        <v/>
      </c>
      <c r="P3" s="16">
        <f>IF(E3="","",IF(D3=0,IF(G3&gt;0,"бесплатно — ок","нет дохода"),IF(O3&gt;=100,"окупился — можно повторить",IF(O3&gt;=50,"наблюдать","СТОП: выключить канал"))))</f>
        <v/>
      </c>
    </row>
    <row r="4">
      <c r="A4" s="11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3">
        <f>IF(E4&gt;0,D4/E4,"")</f>
        <v/>
      </c>
      <c r="L4" s="14">
        <f>IF(E4&gt;0,F4/E4,"")</f>
        <v/>
      </c>
      <c r="M4" s="13">
        <f>IF(F4&gt;0,G4/F4*1000,"")</f>
        <v/>
      </c>
      <c r="N4" s="13">
        <f>IF(E4&gt;0,G4/E4,"")</f>
        <v/>
      </c>
      <c r="O4" s="15">
        <f>IF(AND(D4&gt;0,G4&lt;&gt;""),G4/D4*100,"")</f>
        <v/>
      </c>
      <c r="P4" s="16">
        <f>IF(E4="","",IF(D4=0,IF(G4&gt;0,"бесплатно — ок","нет дохода"),IF(O4&gt;=100,"окупился — можно повторить",IF(O4&gt;=50,"наблюдать","СТОП: выключить канал"))))</f>
        <v/>
      </c>
    </row>
    <row r="5">
      <c r="A5" s="11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3">
        <f>IF(E5&gt;0,D5/E5,"")</f>
        <v/>
      </c>
      <c r="L5" s="14">
        <f>IF(E5&gt;0,F5/E5,"")</f>
        <v/>
      </c>
      <c r="M5" s="13">
        <f>IF(F5&gt;0,G5/F5*1000,"")</f>
        <v/>
      </c>
      <c r="N5" s="13">
        <f>IF(E5&gt;0,G5/E5,"")</f>
        <v/>
      </c>
      <c r="O5" s="15">
        <f>IF(AND(D5&gt;0,G5&lt;&gt;""),G5/D5*100,"")</f>
        <v/>
      </c>
      <c r="P5" s="16">
        <f>IF(E5="","",IF(D5=0,IF(G5&gt;0,"бесплатно — ок","нет дохода"),IF(O5&gt;=100,"окупился — можно повторить",IF(O5&gt;=50,"наблюдать","СТОП: выключить канал"))))</f>
        <v/>
      </c>
    </row>
    <row r="6">
      <c r="A6" s="11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3">
        <f>IF(E6&gt;0,D6/E6,"")</f>
        <v/>
      </c>
      <c r="L6" s="14">
        <f>IF(E6&gt;0,F6/E6,"")</f>
        <v/>
      </c>
      <c r="M6" s="13">
        <f>IF(F6&gt;0,G6/F6*1000,"")</f>
        <v/>
      </c>
      <c r="N6" s="13">
        <f>IF(E6&gt;0,G6/E6,"")</f>
        <v/>
      </c>
      <c r="O6" s="15">
        <f>IF(AND(D6&gt;0,G6&lt;&gt;""),G6/D6*100,"")</f>
        <v/>
      </c>
      <c r="P6" s="16">
        <f>IF(E6="","",IF(D6=0,IF(G6&gt;0,"бесплатно — ок","нет дохода"),IF(O6&gt;=100,"окупился — можно повторить",IF(O6&gt;=50,"наблюдать","СТОП: выключить канал"))))</f>
        <v/>
      </c>
    </row>
    <row r="7">
      <c r="A7" s="11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3">
        <f>IF(E7&gt;0,D7/E7,"")</f>
        <v/>
      </c>
      <c r="L7" s="14">
        <f>IF(E7&gt;0,F7/E7,"")</f>
        <v/>
      </c>
      <c r="M7" s="13">
        <f>IF(F7&gt;0,G7/F7*1000,"")</f>
        <v/>
      </c>
      <c r="N7" s="13">
        <f>IF(E7&gt;0,G7/E7,"")</f>
        <v/>
      </c>
      <c r="O7" s="15">
        <f>IF(AND(D7&gt;0,G7&lt;&gt;""),G7/D7*100,"")</f>
        <v/>
      </c>
      <c r="P7" s="16">
        <f>IF(E7="","",IF(D7=0,IF(G7&gt;0,"бесплатно — ок","нет дохода"),IF(O7&gt;=100,"окупился — можно повторить",IF(O7&gt;=50,"наблюдать","СТОП: выключить канал"))))</f>
        <v/>
      </c>
    </row>
    <row r="8">
      <c r="A8" s="11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3">
        <f>IF(E8&gt;0,D8/E8,"")</f>
        <v/>
      </c>
      <c r="L8" s="14">
        <f>IF(E8&gt;0,F8/E8,"")</f>
        <v/>
      </c>
      <c r="M8" s="13">
        <f>IF(F8&gt;0,G8/F8*1000,"")</f>
        <v/>
      </c>
      <c r="N8" s="13">
        <f>IF(E8&gt;0,G8/E8,"")</f>
        <v/>
      </c>
      <c r="O8" s="15">
        <f>IF(AND(D8&gt;0,G8&lt;&gt;""),G8/D8*100,"")</f>
        <v/>
      </c>
      <c r="P8" s="16">
        <f>IF(E8="","",IF(D8=0,IF(G8&gt;0,"бесплатно — ок","нет дохода"),IF(O8&gt;=100,"окупился — можно повторить",IF(O8&gt;=50,"наблюдать","СТОП: выключить канал"))))</f>
        <v/>
      </c>
    </row>
    <row r="9">
      <c r="A9" s="11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3">
        <f>IF(E9&gt;0,D9/E9,"")</f>
        <v/>
      </c>
      <c r="L9" s="14">
        <f>IF(E9&gt;0,F9/E9,"")</f>
        <v/>
      </c>
      <c r="M9" s="13">
        <f>IF(F9&gt;0,G9/F9*1000,"")</f>
        <v/>
      </c>
      <c r="N9" s="13">
        <f>IF(E9&gt;0,G9/E9,"")</f>
        <v/>
      </c>
      <c r="O9" s="15">
        <f>IF(AND(D9&gt;0,G9&lt;&gt;""),G9/D9*100,"")</f>
        <v/>
      </c>
      <c r="P9" s="16">
        <f>IF(E9="","",IF(D9=0,IF(G9&gt;0,"бесплатно — ок","нет дохода"),IF(O9&gt;=100,"окупился — можно повторить",IF(O9&gt;=50,"наблюдать","СТОП: выключить канал"))))</f>
        <v/>
      </c>
    </row>
    <row r="10">
      <c r="A10" s="11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3">
        <f>IF(E10&gt;0,D10/E10,"")</f>
        <v/>
      </c>
      <c r="L10" s="14">
        <f>IF(E10&gt;0,F10/E10,"")</f>
        <v/>
      </c>
      <c r="M10" s="13">
        <f>IF(F10&gt;0,G10/F10*1000,"")</f>
        <v/>
      </c>
      <c r="N10" s="13">
        <f>IF(E10&gt;0,G10/E10,"")</f>
        <v/>
      </c>
      <c r="O10" s="15">
        <f>IF(AND(D10&gt;0,G10&lt;&gt;""),G10/D10*100,"")</f>
        <v/>
      </c>
      <c r="P10" s="16">
        <f>IF(E10="","",IF(D10=0,IF(G10&gt;0,"бесплатно — ок","нет дохода"),IF(O10&gt;=100,"окупился — можно повторить",IF(O10&gt;=50,"наблюдать","СТОП: выключить канал"))))</f>
        <v/>
      </c>
    </row>
    <row r="11">
      <c r="A11" s="11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3">
        <f>IF(E11&gt;0,D11/E11,"")</f>
        <v/>
      </c>
      <c r="L11" s="14">
        <f>IF(E11&gt;0,F11/E11,"")</f>
        <v/>
      </c>
      <c r="M11" s="13">
        <f>IF(F11&gt;0,G11/F11*1000,"")</f>
        <v/>
      </c>
      <c r="N11" s="13">
        <f>IF(E11&gt;0,G11/E11,"")</f>
        <v/>
      </c>
      <c r="O11" s="15">
        <f>IF(AND(D11&gt;0,G11&lt;&gt;""),G11/D11*100,"")</f>
        <v/>
      </c>
      <c r="P11" s="16">
        <f>IF(E11="","",IF(D11=0,IF(G11&gt;0,"бесплатно — ок","нет дохода"),IF(O11&gt;=100,"окупился — можно повторить",IF(O11&gt;=50,"наблюдать","СТОП: выключить канал"))))</f>
        <v/>
      </c>
    </row>
    <row r="12">
      <c r="A12" s="11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3">
        <f>IF(E12&gt;0,D12/E12,"")</f>
        <v/>
      </c>
      <c r="L12" s="14">
        <f>IF(E12&gt;0,F12/E12,"")</f>
        <v/>
      </c>
      <c r="M12" s="13">
        <f>IF(F12&gt;0,G12/F12*1000,"")</f>
        <v/>
      </c>
      <c r="N12" s="13">
        <f>IF(E12&gt;0,G12/E12,"")</f>
        <v/>
      </c>
      <c r="O12" s="15">
        <f>IF(AND(D12&gt;0,G12&lt;&gt;""),G12/D12*100,"")</f>
        <v/>
      </c>
      <c r="P12" s="16">
        <f>IF(E12="","",IF(D12=0,IF(G12&gt;0,"бесплатно — ок","нет дохода"),IF(O12&gt;=100,"окупился — можно повторить",IF(O12&gt;=50,"наблюдать","СТОП: выключить канал"))))</f>
        <v/>
      </c>
    </row>
    <row r="13">
      <c r="A13" s="11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3">
        <f>IF(E13&gt;0,D13/E13,"")</f>
        <v/>
      </c>
      <c r="L13" s="14">
        <f>IF(E13&gt;0,F13/E13,"")</f>
        <v/>
      </c>
      <c r="M13" s="13">
        <f>IF(F13&gt;0,G13/F13*1000,"")</f>
        <v/>
      </c>
      <c r="N13" s="13">
        <f>IF(E13&gt;0,G13/E13,"")</f>
        <v/>
      </c>
      <c r="O13" s="15">
        <f>IF(AND(D13&gt;0,G13&lt;&gt;""),G13/D13*100,"")</f>
        <v/>
      </c>
      <c r="P13" s="16">
        <f>IF(E13="","",IF(D13=0,IF(G13&gt;0,"бесплатно — ок","нет дохода"),IF(O13&gt;=100,"окупился — можно повторить",IF(O13&gt;=50,"наблюдать","СТОП: выключить канал"))))</f>
        <v/>
      </c>
    </row>
    <row r="14">
      <c r="A14" s="11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3">
        <f>IF(E14&gt;0,D14/E14,"")</f>
        <v/>
      </c>
      <c r="L14" s="14">
        <f>IF(E14&gt;0,F14/E14,"")</f>
        <v/>
      </c>
      <c r="M14" s="13">
        <f>IF(F14&gt;0,G14/F14*1000,"")</f>
        <v/>
      </c>
      <c r="N14" s="13">
        <f>IF(E14&gt;0,G14/E14,"")</f>
        <v/>
      </c>
      <c r="O14" s="15">
        <f>IF(AND(D14&gt;0,G14&lt;&gt;""),G14/D14*100,"")</f>
        <v/>
      </c>
      <c r="P14" s="16">
        <f>IF(E14="","",IF(D14=0,IF(G14&gt;0,"бесплатно — ок","нет дохода"),IF(O14&gt;=100,"окупился — можно повторить",IF(O14&gt;=50,"наблюдать","СТОП: выключить канал"))))</f>
        <v/>
      </c>
    </row>
    <row r="15">
      <c r="A15" s="11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3">
        <f>IF(E15&gt;0,D15/E15,"")</f>
        <v/>
      </c>
      <c r="L15" s="14">
        <f>IF(E15&gt;0,F15/E15,"")</f>
        <v/>
      </c>
      <c r="M15" s="13">
        <f>IF(F15&gt;0,G15/F15*1000,"")</f>
        <v/>
      </c>
      <c r="N15" s="13">
        <f>IF(E15&gt;0,G15/E15,"")</f>
        <v/>
      </c>
      <c r="O15" s="15">
        <f>IF(AND(D15&gt;0,G15&lt;&gt;""),G15/D15*100,"")</f>
        <v/>
      </c>
      <c r="P15" s="16">
        <f>IF(E15="","",IF(D15=0,IF(G15&gt;0,"бесплатно — ок","нет дохода"),IF(O15&gt;=100,"окупился — можно повторить",IF(O15&gt;=50,"наблюдать","СТОП: выключить канал"))))</f>
        <v/>
      </c>
    </row>
    <row r="16">
      <c r="A16" s="11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3">
        <f>IF(E16&gt;0,D16/E16,"")</f>
        <v/>
      </c>
      <c r="L16" s="14">
        <f>IF(E16&gt;0,F16/E16,"")</f>
        <v/>
      </c>
      <c r="M16" s="13">
        <f>IF(F16&gt;0,G16/F16*1000,"")</f>
        <v/>
      </c>
      <c r="N16" s="13">
        <f>IF(E16&gt;0,G16/E16,"")</f>
        <v/>
      </c>
      <c r="O16" s="15">
        <f>IF(AND(D16&gt;0,G16&lt;&gt;""),G16/D16*100,"")</f>
        <v/>
      </c>
      <c r="P16" s="16">
        <f>IF(E16="","",IF(D16=0,IF(G16&gt;0,"бесплатно — ок","нет дохода"),IF(O16&gt;=100,"окупился — можно повторить",IF(O16&gt;=50,"наблюдать","СТОП: выключить канал"))))</f>
        <v/>
      </c>
    </row>
    <row r="17">
      <c r="A17" s="11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3">
        <f>IF(E17&gt;0,D17/E17,"")</f>
        <v/>
      </c>
      <c r="L17" s="14">
        <f>IF(E17&gt;0,F17/E17,"")</f>
        <v/>
      </c>
      <c r="M17" s="13">
        <f>IF(F17&gt;0,G17/F17*1000,"")</f>
        <v/>
      </c>
      <c r="N17" s="13">
        <f>IF(E17&gt;0,G17/E17,"")</f>
        <v/>
      </c>
      <c r="O17" s="15">
        <f>IF(AND(D17&gt;0,G17&lt;&gt;""),G17/D17*100,"")</f>
        <v/>
      </c>
      <c r="P17" s="16">
        <f>IF(E17="","",IF(D17=0,IF(G17&gt;0,"бесплатно — ок","нет дохода"),IF(O17&gt;=100,"окупился — можно повторить",IF(O17&gt;=50,"наблюдать","СТОП: выключить канал"))))</f>
        <v/>
      </c>
    </row>
    <row r="18">
      <c r="A18" s="11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3">
        <f>IF(E18&gt;0,D18/E18,"")</f>
        <v/>
      </c>
      <c r="L18" s="14">
        <f>IF(E18&gt;0,F18/E18,"")</f>
        <v/>
      </c>
      <c r="M18" s="13">
        <f>IF(F18&gt;0,G18/F18*1000,"")</f>
        <v/>
      </c>
      <c r="N18" s="13">
        <f>IF(E18&gt;0,G18/E18,"")</f>
        <v/>
      </c>
      <c r="O18" s="15">
        <f>IF(AND(D18&gt;0,G18&lt;&gt;""),G18/D18*100,"")</f>
        <v/>
      </c>
      <c r="P18" s="16">
        <f>IF(E18="","",IF(D18=0,IF(G18&gt;0,"бесплатно — ок","нет дохода"),IF(O18&gt;=100,"окупился — можно повторить",IF(O18&gt;=50,"наблюдать","СТОП: выключить канал"))))</f>
        <v/>
      </c>
    </row>
    <row r="19">
      <c r="A19" s="11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>
        <f>IF(E19&gt;0,D19/E19,"")</f>
        <v/>
      </c>
      <c r="L19" s="14">
        <f>IF(E19&gt;0,F19/E19,"")</f>
        <v/>
      </c>
      <c r="M19" s="13">
        <f>IF(F19&gt;0,G19/F19*1000,"")</f>
        <v/>
      </c>
      <c r="N19" s="13">
        <f>IF(E19&gt;0,G19/E19,"")</f>
        <v/>
      </c>
      <c r="O19" s="15">
        <f>IF(AND(D19&gt;0,G19&lt;&gt;""),G19/D19*100,"")</f>
        <v/>
      </c>
      <c r="P19" s="16">
        <f>IF(E19="","",IF(D19=0,IF(G19&gt;0,"бесплатно — ок","нет дохода"),IF(O19&gt;=100,"окупился — можно повторить",IF(O19&gt;=50,"наблюдать","СТОП: выключить канал"))))</f>
        <v/>
      </c>
    </row>
    <row r="20">
      <c r="A20" s="11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3">
        <f>IF(E20&gt;0,D20/E20,"")</f>
        <v/>
      </c>
      <c r="L20" s="14">
        <f>IF(E20&gt;0,F20/E20,"")</f>
        <v/>
      </c>
      <c r="M20" s="13">
        <f>IF(F20&gt;0,G20/F20*1000,"")</f>
        <v/>
      </c>
      <c r="N20" s="13">
        <f>IF(E20&gt;0,G20/E20,"")</f>
        <v/>
      </c>
      <c r="O20" s="15">
        <f>IF(AND(D20&gt;0,G20&lt;&gt;""),G20/D20*100,"")</f>
        <v/>
      </c>
      <c r="P20" s="16">
        <f>IF(E20="","",IF(D20=0,IF(G20&gt;0,"бесплатно — ок","нет дохода"),IF(O20&gt;=100,"окупился — можно повторить",IF(O20&gt;=50,"наблюдать","СТОП: выключить канал"))))</f>
        <v/>
      </c>
    </row>
    <row r="21">
      <c r="A21" s="11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3">
        <f>IF(E21&gt;0,D21/E21,"")</f>
        <v/>
      </c>
      <c r="L21" s="14">
        <f>IF(E21&gt;0,F21/E21,"")</f>
        <v/>
      </c>
      <c r="M21" s="13">
        <f>IF(F21&gt;0,G21/F21*1000,"")</f>
        <v/>
      </c>
      <c r="N21" s="13">
        <f>IF(E21&gt;0,G21/E21,"")</f>
        <v/>
      </c>
      <c r="O21" s="15">
        <f>IF(AND(D21&gt;0,G21&lt;&gt;""),G21/D21*100,"")</f>
        <v/>
      </c>
      <c r="P21" s="16">
        <f>IF(E21="","",IF(D21=0,IF(G21&gt;0,"бесплатно — ок","нет дохода"),IF(O21&gt;=100,"окупился — можно повторить",IF(O21&gt;=50,"наблюдать","СТОП: выключить канал"))))</f>
        <v/>
      </c>
    </row>
    <row r="22">
      <c r="A22" s="11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3">
        <f>IF(E22&gt;0,D22/E22,"")</f>
        <v/>
      </c>
      <c r="L22" s="14">
        <f>IF(E22&gt;0,F22/E22,"")</f>
        <v/>
      </c>
      <c r="M22" s="13">
        <f>IF(F22&gt;0,G22/F22*1000,"")</f>
        <v/>
      </c>
      <c r="N22" s="13">
        <f>IF(E22&gt;0,G22/E22,"")</f>
        <v/>
      </c>
      <c r="O22" s="15">
        <f>IF(AND(D22&gt;0,G22&lt;&gt;""),G22/D22*100,"")</f>
        <v/>
      </c>
      <c r="P22" s="16">
        <f>IF(E22="","",IF(D22=0,IF(G22&gt;0,"бесплатно — ок","нет дохода"),IF(O22&gt;=100,"окупился — можно повторить",IF(O22&gt;=50,"наблюдать","СТОП: выключить канал"))))</f>
        <v/>
      </c>
    </row>
    <row r="23">
      <c r="A23" s="11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3">
        <f>IF(E23&gt;0,D23/E23,"")</f>
        <v/>
      </c>
      <c r="L23" s="14">
        <f>IF(E23&gt;0,F23/E23,"")</f>
        <v/>
      </c>
      <c r="M23" s="13">
        <f>IF(F23&gt;0,G23/F23*1000,"")</f>
        <v/>
      </c>
      <c r="N23" s="13">
        <f>IF(E23&gt;0,G23/E23,"")</f>
        <v/>
      </c>
      <c r="O23" s="15">
        <f>IF(AND(D23&gt;0,G23&lt;&gt;""),G23/D23*100,"")</f>
        <v/>
      </c>
      <c r="P23" s="16">
        <f>IF(E23="","",IF(D23=0,IF(G23&gt;0,"бесплатно — ок","нет дохода"),IF(O23&gt;=100,"окупился — можно повторить",IF(O23&gt;=50,"наблюдать","СТОП: выключить канал"))))</f>
        <v/>
      </c>
    </row>
    <row r="24">
      <c r="A24" s="11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3">
        <f>IF(E24&gt;0,D24/E24,"")</f>
        <v/>
      </c>
      <c r="L24" s="14">
        <f>IF(E24&gt;0,F24/E24,"")</f>
        <v/>
      </c>
      <c r="M24" s="13">
        <f>IF(F24&gt;0,G24/F24*1000,"")</f>
        <v/>
      </c>
      <c r="N24" s="13">
        <f>IF(E24&gt;0,G24/E24,"")</f>
        <v/>
      </c>
      <c r="O24" s="15">
        <f>IF(AND(D24&gt;0,G24&lt;&gt;""),G24/D24*100,"")</f>
        <v/>
      </c>
      <c r="P24" s="16">
        <f>IF(E24="","",IF(D24=0,IF(G24&gt;0,"бесплатно — ок","нет дохода"),IF(O24&gt;=100,"окупился — можно повторить",IF(O24&gt;=50,"наблюдать","СТОП: выключить канал"))))</f>
        <v/>
      </c>
    </row>
    <row r="25">
      <c r="A25" s="11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3">
        <f>IF(E25&gt;0,D25/E25,"")</f>
        <v/>
      </c>
      <c r="L25" s="14">
        <f>IF(E25&gt;0,F25/E25,"")</f>
        <v/>
      </c>
      <c r="M25" s="13">
        <f>IF(F25&gt;0,G25/F25*1000,"")</f>
        <v/>
      </c>
      <c r="N25" s="13">
        <f>IF(E25&gt;0,G25/E25,"")</f>
        <v/>
      </c>
      <c r="O25" s="15">
        <f>IF(AND(D25&gt;0,G25&lt;&gt;""),G25/D25*100,"")</f>
        <v/>
      </c>
      <c r="P25" s="16">
        <f>IF(E25="","",IF(D25=0,IF(G25&gt;0,"бесплатно — ок","нет дохода"),IF(O25&gt;=100,"окупился — можно повторить",IF(O25&gt;=50,"наблюдать","СТОП: выключить канал"))))</f>
        <v/>
      </c>
    </row>
    <row r="26">
      <c r="A26" s="11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3">
        <f>IF(E26&gt;0,D26/E26,"")</f>
        <v/>
      </c>
      <c r="L26" s="14">
        <f>IF(E26&gt;0,F26/E26,"")</f>
        <v/>
      </c>
      <c r="M26" s="13">
        <f>IF(F26&gt;0,G26/F26*1000,"")</f>
        <v/>
      </c>
      <c r="N26" s="13">
        <f>IF(E26&gt;0,G26/E26,"")</f>
        <v/>
      </c>
      <c r="O26" s="15">
        <f>IF(AND(D26&gt;0,G26&lt;&gt;""),G26/D26*100,"")</f>
        <v/>
      </c>
      <c r="P26" s="16">
        <f>IF(E26="","",IF(D26=0,IF(G26&gt;0,"бесплатно — ок","нет дохода"),IF(O26&gt;=100,"окупился — можно повторить",IF(O26&gt;=50,"наблюдать","СТОП: выключить канал"))))</f>
        <v/>
      </c>
    </row>
    <row r="27">
      <c r="A27" s="11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3">
        <f>IF(E27&gt;0,D27/E27,"")</f>
        <v/>
      </c>
      <c r="L27" s="14">
        <f>IF(E27&gt;0,F27/E27,"")</f>
        <v/>
      </c>
      <c r="M27" s="13">
        <f>IF(F27&gt;0,G27/F27*1000,"")</f>
        <v/>
      </c>
      <c r="N27" s="13">
        <f>IF(E27&gt;0,G27/E27,"")</f>
        <v/>
      </c>
      <c r="O27" s="15">
        <f>IF(AND(D27&gt;0,G27&lt;&gt;""),G27/D27*100,"")</f>
        <v/>
      </c>
      <c r="P27" s="16">
        <f>IF(E27="","",IF(D27=0,IF(G27&gt;0,"бесплатно — ок","нет дохода"),IF(O27&gt;=100,"окупился — можно повторить",IF(O27&gt;=50,"наблюдать","СТОП: выключить канал"))))</f>
        <v/>
      </c>
    </row>
    <row r="28">
      <c r="A28" s="11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3">
        <f>IF(E28&gt;0,D28/E28,"")</f>
        <v/>
      </c>
      <c r="L28" s="14">
        <f>IF(E28&gt;0,F28/E28,"")</f>
        <v/>
      </c>
      <c r="M28" s="13">
        <f>IF(F28&gt;0,G28/F28*1000,"")</f>
        <v/>
      </c>
      <c r="N28" s="13">
        <f>IF(E28&gt;0,G28/E28,"")</f>
        <v/>
      </c>
      <c r="O28" s="15">
        <f>IF(AND(D28&gt;0,G28&lt;&gt;""),G28/D28*100,"")</f>
        <v/>
      </c>
      <c r="P28" s="16">
        <f>IF(E28="","",IF(D28=0,IF(G28&gt;0,"бесплатно — ок","нет дохода"),IF(O28&gt;=100,"окупился — можно повторить",IF(O28&gt;=50,"наблюдать","СТОП: выключить канал"))))</f>
        <v/>
      </c>
    </row>
    <row r="29">
      <c r="A29" s="11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3">
        <f>IF(E29&gt;0,D29/E29,"")</f>
        <v/>
      </c>
      <c r="L29" s="14">
        <f>IF(E29&gt;0,F29/E29,"")</f>
        <v/>
      </c>
      <c r="M29" s="13">
        <f>IF(F29&gt;0,G29/F29*1000,"")</f>
        <v/>
      </c>
      <c r="N29" s="13">
        <f>IF(E29&gt;0,G29/E29,"")</f>
        <v/>
      </c>
      <c r="O29" s="15">
        <f>IF(AND(D29&gt;0,G29&lt;&gt;""),G29/D29*100,"")</f>
        <v/>
      </c>
      <c r="P29" s="16">
        <f>IF(E29="","",IF(D29=0,IF(G29&gt;0,"бесплатно — ок","нет дохода"),IF(O29&gt;=100,"окупился — можно повторить",IF(O29&gt;=50,"наблюдать","СТОП: выключить канал"))))</f>
        <v/>
      </c>
    </row>
    <row r="30">
      <c r="A30" s="11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3">
        <f>IF(E30&gt;0,D30/E30,"")</f>
        <v/>
      </c>
      <c r="L30" s="14">
        <f>IF(E30&gt;0,F30/E30,"")</f>
        <v/>
      </c>
      <c r="M30" s="13">
        <f>IF(F30&gt;0,G30/F30*1000,"")</f>
        <v/>
      </c>
      <c r="N30" s="13">
        <f>IF(E30&gt;0,G30/E30,"")</f>
        <v/>
      </c>
      <c r="O30" s="15">
        <f>IF(AND(D30&gt;0,G30&lt;&gt;""),G30/D30*100,"")</f>
        <v/>
      </c>
      <c r="P30" s="16">
        <f>IF(E30="","",IF(D30=0,IF(G30&gt;0,"бесплатно — ок","нет дохода"),IF(O30&gt;=100,"окупился — можно повторить",IF(O30&gt;=50,"наблюдать","СТОП: выключить канал"))))</f>
        <v/>
      </c>
    </row>
    <row r="31">
      <c r="A31" s="11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3">
        <f>IF(E31&gt;0,D31/E31,"")</f>
        <v/>
      </c>
      <c r="L31" s="14">
        <f>IF(E31&gt;0,F31/E31,"")</f>
        <v/>
      </c>
      <c r="M31" s="13">
        <f>IF(F31&gt;0,G31/F31*1000,"")</f>
        <v/>
      </c>
      <c r="N31" s="13">
        <f>IF(E31&gt;0,G31/E31,"")</f>
        <v/>
      </c>
      <c r="O31" s="15">
        <f>IF(AND(D31&gt;0,G31&lt;&gt;""),G31/D31*100,"")</f>
        <v/>
      </c>
      <c r="P31" s="16">
        <f>IF(E31="","",IF(D31=0,IF(G31&gt;0,"бесплатно — ок","нет дохода"),IF(O31&gt;=100,"окупился — можно повторить",IF(O31&gt;=50,"наблюдать","СТОП: выключить канал"))))</f>
        <v/>
      </c>
    </row>
    <row r="32">
      <c r="A32" s="11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3">
        <f>IF(E32&gt;0,D32/E32,"")</f>
        <v/>
      </c>
      <c r="L32" s="14">
        <f>IF(E32&gt;0,F32/E32,"")</f>
        <v/>
      </c>
      <c r="M32" s="13">
        <f>IF(F32&gt;0,G32/F32*1000,"")</f>
        <v/>
      </c>
      <c r="N32" s="13">
        <f>IF(E32&gt;0,G32/E32,"")</f>
        <v/>
      </c>
      <c r="O32" s="15">
        <f>IF(AND(D32&gt;0,G32&lt;&gt;""),G32/D32*100,"")</f>
        <v/>
      </c>
      <c r="P32" s="16">
        <f>IF(E32="","",IF(D32=0,IF(G32&gt;0,"бесплатно — ок","нет дохода"),IF(O32&gt;=100,"окупился — можно повторить",IF(O32&gt;=50,"наблюдать","СТОП: выключить канал"))))</f>
        <v/>
      </c>
    </row>
    <row r="33">
      <c r="A33" s="11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3">
        <f>IF(E33&gt;0,D33/E33,"")</f>
        <v/>
      </c>
      <c r="L33" s="14">
        <f>IF(E33&gt;0,F33/E33,"")</f>
        <v/>
      </c>
      <c r="M33" s="13">
        <f>IF(F33&gt;0,G33/F33*1000,"")</f>
        <v/>
      </c>
      <c r="N33" s="13">
        <f>IF(E33&gt;0,G33/E33,"")</f>
        <v/>
      </c>
      <c r="O33" s="15">
        <f>IF(AND(D33&gt;0,G33&lt;&gt;""),G33/D33*100,"")</f>
        <v/>
      </c>
      <c r="P33" s="16">
        <f>IF(E33="","",IF(D33=0,IF(G33&gt;0,"бесплатно — ок","нет дохода"),IF(O33&gt;=100,"окупился — можно повторить",IF(O33&gt;=50,"наблюдать","СТОП: выключить канал"))))</f>
        <v/>
      </c>
    </row>
    <row r="34">
      <c r="A34" s="11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3">
        <f>IF(E34&gt;0,D34/E34,"")</f>
        <v/>
      </c>
      <c r="L34" s="14">
        <f>IF(E34&gt;0,F34/E34,"")</f>
        <v/>
      </c>
      <c r="M34" s="13">
        <f>IF(F34&gt;0,G34/F34*1000,"")</f>
        <v/>
      </c>
      <c r="N34" s="13">
        <f>IF(E34&gt;0,G34/E34,"")</f>
        <v/>
      </c>
      <c r="O34" s="15">
        <f>IF(AND(D34&gt;0,G34&lt;&gt;""),G34/D34*100,"")</f>
        <v/>
      </c>
      <c r="P34" s="16">
        <f>IF(E34="","",IF(D34=0,IF(G34&gt;0,"бесплатно — ок","нет дохода"),IF(O34&gt;=100,"окупился — можно повторить",IF(O34&gt;=50,"наблюдать","СТОП: выключить канал"))))</f>
        <v/>
      </c>
    </row>
    <row r="35">
      <c r="A35" s="11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3">
        <f>IF(E35&gt;0,D35/E35,"")</f>
        <v/>
      </c>
      <c r="L35" s="14">
        <f>IF(E35&gt;0,F35/E35,"")</f>
        <v/>
      </c>
      <c r="M35" s="13">
        <f>IF(F35&gt;0,G35/F35*1000,"")</f>
        <v/>
      </c>
      <c r="N35" s="13">
        <f>IF(E35&gt;0,G35/E35,"")</f>
        <v/>
      </c>
      <c r="O35" s="15">
        <f>IF(AND(D35&gt;0,G35&lt;&gt;""),G35/D35*100,"")</f>
        <v/>
      </c>
      <c r="P35" s="16">
        <f>IF(E35="","",IF(D35=0,IF(G35&gt;0,"бесплатно — ок","нет дохода"),IF(O35&gt;=100,"окупился — можно повторить",IF(O35&gt;=50,"наблюдать","СТОП: выключить канал"))))</f>
        <v/>
      </c>
    </row>
    <row r="36">
      <c r="A36" s="11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>
        <f>IF(E36&gt;0,D36/E36,"")</f>
        <v/>
      </c>
      <c r="L36" s="14">
        <f>IF(E36&gt;0,F36/E36,"")</f>
        <v/>
      </c>
      <c r="M36" s="13">
        <f>IF(F36&gt;0,G36/F36*1000,"")</f>
        <v/>
      </c>
      <c r="N36" s="13">
        <f>IF(E36&gt;0,G36/E36,"")</f>
        <v/>
      </c>
      <c r="O36" s="15">
        <f>IF(AND(D36&gt;0,G36&lt;&gt;""),G36/D36*100,"")</f>
        <v/>
      </c>
      <c r="P36" s="16">
        <f>IF(E36="","",IF(D36=0,IF(G36&gt;0,"бесплатно — ок","нет дохода"),IF(O36&gt;=100,"окупился — можно повторить",IF(O36&gt;=50,"наблюдать","СТОП: выключить канал"))))</f>
        <v/>
      </c>
    </row>
    <row r="37">
      <c r="A37" s="11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3">
        <f>IF(E37&gt;0,D37/E37,"")</f>
        <v/>
      </c>
      <c r="L37" s="14">
        <f>IF(E37&gt;0,F37/E37,"")</f>
        <v/>
      </c>
      <c r="M37" s="13">
        <f>IF(F37&gt;0,G37/F37*1000,"")</f>
        <v/>
      </c>
      <c r="N37" s="13">
        <f>IF(E37&gt;0,G37/E37,"")</f>
        <v/>
      </c>
      <c r="O37" s="15">
        <f>IF(AND(D37&gt;0,G37&lt;&gt;""),G37/D37*100,"")</f>
        <v/>
      </c>
      <c r="P37" s="16">
        <f>IF(E37="","",IF(D37=0,IF(G37&gt;0,"бесплатно — ок","нет дохода"),IF(O37&gt;=100,"окупился — можно повторить",IF(O37&gt;=50,"наблюдать","СТОП: выключить канал"))))</f>
        <v/>
      </c>
    </row>
    <row r="38">
      <c r="A38" s="11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3">
        <f>IF(E38&gt;0,D38/E38,"")</f>
        <v/>
      </c>
      <c r="L38" s="14">
        <f>IF(E38&gt;0,F38/E38,"")</f>
        <v/>
      </c>
      <c r="M38" s="13">
        <f>IF(F38&gt;0,G38/F38*1000,"")</f>
        <v/>
      </c>
      <c r="N38" s="13">
        <f>IF(E38&gt;0,G38/E38,"")</f>
        <v/>
      </c>
      <c r="O38" s="15">
        <f>IF(AND(D38&gt;0,G38&lt;&gt;""),G38/D38*100,"")</f>
        <v/>
      </c>
      <c r="P38" s="16">
        <f>IF(E38="","",IF(D38=0,IF(G38&gt;0,"бесплатно — ок","нет дохода"),IF(O38&gt;=100,"окупился — можно повторить",IF(O38&gt;=50,"наблюдать","СТОП: выключить канал"))))</f>
        <v/>
      </c>
    </row>
    <row r="39">
      <c r="A39" s="11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3">
        <f>IF(E39&gt;0,D39/E39,"")</f>
        <v/>
      </c>
      <c r="L39" s="14">
        <f>IF(E39&gt;0,F39/E39,"")</f>
        <v/>
      </c>
      <c r="M39" s="13">
        <f>IF(F39&gt;0,G39/F39*1000,"")</f>
        <v/>
      </c>
      <c r="N39" s="13">
        <f>IF(E39&gt;0,G39/E39,"")</f>
        <v/>
      </c>
      <c r="O39" s="15">
        <f>IF(AND(D39&gt;0,G39&lt;&gt;""),G39/D39*100,"")</f>
        <v/>
      </c>
      <c r="P39" s="16">
        <f>IF(E39="","",IF(D39=0,IF(G39&gt;0,"бесплатно — ок","нет дохода"),IF(O39&gt;=100,"окупился — можно повторить",IF(O39&gt;=50,"наблюдать","СТОП: выключить канал"))))</f>
        <v/>
      </c>
    </row>
    <row r="40">
      <c r="A40" s="11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3">
        <f>IF(E40&gt;0,D40/E40,"")</f>
        <v/>
      </c>
      <c r="L40" s="14">
        <f>IF(E40&gt;0,F40/E40,"")</f>
        <v/>
      </c>
      <c r="M40" s="13">
        <f>IF(F40&gt;0,G40/F40*1000,"")</f>
        <v/>
      </c>
      <c r="N40" s="13">
        <f>IF(E40&gt;0,G40/E40,"")</f>
        <v/>
      </c>
      <c r="O40" s="15">
        <f>IF(AND(D40&gt;0,G40&lt;&gt;""),G40/D40*100,"")</f>
        <v/>
      </c>
      <c r="P40" s="16">
        <f>IF(E40="","",IF(D40=0,IF(G40&gt;0,"бесплатно — ок","нет дохода"),IF(O40&gt;=100,"окупился — можно повторить",IF(O40&gt;=50,"наблюдать","СТОП: выключить канал"))))</f>
        <v/>
      </c>
    </row>
    <row r="41">
      <c r="A41" s="11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3">
        <f>IF(E41&gt;0,D41/E41,"")</f>
        <v/>
      </c>
      <c r="L41" s="14">
        <f>IF(E41&gt;0,F41/E41,"")</f>
        <v/>
      </c>
      <c r="M41" s="13">
        <f>IF(F41&gt;0,G41/F41*1000,"")</f>
        <v/>
      </c>
      <c r="N41" s="13">
        <f>IF(E41&gt;0,G41/E41,"")</f>
        <v/>
      </c>
      <c r="O41" s="15">
        <f>IF(AND(D41&gt;0,G41&lt;&gt;""),G41/D41*100,"")</f>
        <v/>
      </c>
      <c r="P41" s="16">
        <f>IF(E41="","",IF(D41=0,IF(G41&gt;0,"бесплатно — ок","нет дохода"),IF(O41&gt;=100,"окупился — можно повторить",IF(O41&gt;=50,"наблюдать","СТОП: выключить канал"))))</f>
        <v/>
      </c>
    </row>
  </sheetData>
  <dataValidations count="1">
    <dataValidation sqref="C2:C41" showDropDown="0" showInputMessage="0" showErrorMessage="0" allowBlank="0" type="list">
      <formula1>"бесплатный,платный"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2026-10-13T16:46:29Z</dcterms:created>
  <dcterms:modified xmlns:dcterms="http://purl.org/dc/terms/" xmlns:xsi="http://www.w3.org/2001/XMLSchema-instance" xsi:type="dcterms:W3CDTF">2026-10-13T16:46:38Z</dcterms:modified>
</cp:coreProperties>
</file>